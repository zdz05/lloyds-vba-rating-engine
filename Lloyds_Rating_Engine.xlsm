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zahidhassan/Documents/Lloyds-Rating-Engine/"/>
    </mc:Choice>
  </mc:AlternateContent>
  <xr:revisionPtr revIDLastSave="0" documentId="13_ncr:1_{5978FD49-1E9E-FA4C-9DE4-051E714E4BD3}" xr6:coauthVersionLast="47" xr6:coauthVersionMax="47" xr10:uidLastSave="{00000000-0000-0000-0000-000000000000}"/>
  <bookViews>
    <workbookView xWindow="0" yWindow="680" windowWidth="15140" windowHeight="17960" xr2:uid="{58659D63-6765-5940-A9CF-C07E2A540F8B}"/>
  </bookViews>
  <sheets>
    <sheet name="Risk_Input" sheetId="1" r:id="rId1"/>
    <sheet name="Rating_Tables" sheetId="2" r:id="rId2"/>
    <sheet name="Pricing_Engine" sheetId="3" r:id="rId3"/>
    <sheet name="Exposure_Data" sheetId="4" r:id="rId4"/>
    <sheet name="Quote_Database" sheetId="5" r:id="rId5"/>
    <sheet name="Portfolio_Dashboard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8" i="1" l="1"/>
  <c r="E10" i="1"/>
  <c r="E12" i="1" s="1"/>
  <c r="E16" i="1" s="1"/>
  <c r="E13" i="1"/>
  <c r="E11" i="1"/>
  <c r="E9" i="1"/>
  <c r="E8" i="1"/>
  <c r="E7" i="1"/>
  <c r="E6" i="1"/>
  <c r="E4" i="1"/>
  <c r="E5" i="1" s="1"/>
  <c r="E14" i="1" l="1"/>
  <c r="E15" i="1"/>
  <c r="E17" i="1" l="1"/>
</calcChain>
</file>

<file path=xl/sharedStrings.xml><?xml version="1.0" encoding="utf-8"?>
<sst xmlns="http://schemas.openxmlformats.org/spreadsheetml/2006/main" count="90" uniqueCount="77">
  <si>
    <t>LLOYD'S SPECIALTY PROPERTY PRICING ENGINE</t>
  </si>
  <si>
    <t>RISK INPUTS</t>
  </si>
  <si>
    <t>Risk ID</t>
  </si>
  <si>
    <t>Insured Name</t>
  </si>
  <si>
    <t>Territory</t>
  </si>
  <si>
    <t>Occupancy</t>
  </si>
  <si>
    <t>Construction</t>
  </si>
  <si>
    <t>Total Insured Value (£)</t>
  </si>
  <si>
    <t>Policy Limit (£)</t>
  </si>
  <si>
    <t>Deductible (£)</t>
  </si>
  <si>
    <t>Prior Claims - 5 Years</t>
  </si>
  <si>
    <t>Prior Claims Cost - 5 Years (£)</t>
  </si>
  <si>
    <t>Catastrophe Exposure</t>
  </si>
  <si>
    <t>Underwriter Quoted Premium (£)</t>
  </si>
  <si>
    <t>PRICING OUTPUTS</t>
  </si>
  <si>
    <t>Base Rate</t>
  </si>
  <si>
    <t>Base Expected Loss</t>
  </si>
  <si>
    <t>Territory Factor</t>
  </si>
  <si>
    <t>Occupancy Factor</t>
  </si>
  <si>
    <t>Construction Factor</t>
  </si>
  <si>
    <t>Claims Factor</t>
  </si>
  <si>
    <t>Deductible Factor</t>
  </si>
  <si>
    <t>Limit Factor</t>
  </si>
  <si>
    <t>Adjusted Expected Loss</t>
  </si>
  <si>
    <t>Catastrophe Load</t>
  </si>
  <si>
    <t>Expense Load</t>
  </si>
  <si>
    <t>Resinsurance/ Capital Load</t>
  </si>
  <si>
    <t>Profit Load</t>
  </si>
  <si>
    <t xml:space="preserve">Technical Premium </t>
  </si>
  <si>
    <t>Price Adequacy</t>
  </si>
  <si>
    <t>SPECIALTY PROPERTY RATING ASSUMPTIONS</t>
  </si>
  <si>
    <t xml:space="preserve"> CORE ASSUMPTIONS</t>
  </si>
  <si>
    <t>Base Loss Cost Rate</t>
  </si>
  <si>
    <t>Capital / Reinsurance Load</t>
  </si>
  <si>
    <t>TERRITORY</t>
  </si>
  <si>
    <t>Factor</t>
  </si>
  <si>
    <t>United Kingdom</t>
  </si>
  <si>
    <t>Florida</t>
  </si>
  <si>
    <t>California</t>
  </si>
  <si>
    <t>Germany</t>
  </si>
  <si>
    <t>Japan</t>
  </si>
  <si>
    <t>Caribbean</t>
  </si>
  <si>
    <t>OCCUPANCY</t>
  </si>
  <si>
    <t xml:space="preserve">Factor </t>
  </si>
  <si>
    <t>Office</t>
  </si>
  <si>
    <t>Hotel</t>
  </si>
  <si>
    <t>Retail</t>
  </si>
  <si>
    <t>Warehouse</t>
  </si>
  <si>
    <t>Manufacturing</t>
  </si>
  <si>
    <t>Fire Resistive</t>
  </si>
  <si>
    <t>Masonry</t>
  </si>
  <si>
    <t>Steel Frame</t>
  </si>
  <si>
    <t>Timber</t>
  </si>
  <si>
    <t>CLAIMS HISTORY</t>
  </si>
  <si>
    <t xml:space="preserve">Claims  </t>
  </si>
  <si>
    <t>3+</t>
  </si>
  <si>
    <t>DEDUCTIBLE</t>
  </si>
  <si>
    <t>Deductible as % of TIV</t>
  </si>
  <si>
    <t>&lt; 0.25%</t>
  </si>
  <si>
    <t>0.25% - 0.50%</t>
  </si>
  <si>
    <t>0.50% - 1.00%</t>
  </si>
  <si>
    <t>0.90 </t>
  </si>
  <si>
    <t>POLICY LIMIT</t>
  </si>
  <si>
    <t>Limit as % of TIV</t>
  </si>
  <si>
    <t>≤ 25%</t>
  </si>
  <si>
    <t>25% - 50%</t>
  </si>
  <si>
    <t>50% - 75%</t>
  </si>
  <si>
    <t>75% - 100%</t>
  </si>
  <si>
    <t>CATASTROPHE</t>
  </si>
  <si>
    <t xml:space="preserve">CONSTRUCTION </t>
  </si>
  <si>
    <t>Cat Exposure</t>
  </si>
  <si>
    <t>Cat Load Rate</t>
  </si>
  <si>
    <t>No</t>
  </si>
  <si>
    <t>Yes</t>
  </si>
  <si>
    <t>RISK-0001</t>
  </si>
  <si>
    <t>Example Hotels Ltd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</si>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</sst>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&quot;£&quot;#,##0.00"/>
  </numFmts>
  <fonts count="5" x14ac:knownFonts="1">
    <font>
      <sz val="12"/>
      <color theme="1"/>
      <name val="Aptos Narrow"/>
      <family val="2"/>
      <scheme val="minor"/>
    </font>
    <font>
      <sz val="10"/>
      <color rgb="FF000000"/>
      <name val="Arial Unicode MS"/>
      <family val="2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10" fontId="0" fillId="0" borderId="0" xfId="0" applyNumberFormat="1"/>
    <xf numFmtId="10" fontId="2" fillId="0" borderId="0" xfId="0" applyNumberFormat="1" applyFont="1"/>
    <xf numFmtId="0" fontId="3" fillId="0" borderId="0" xfId="0" applyFont="1"/>
    <xf numFmtId="0" fontId="4" fillId="0" borderId="0" xfId="0" applyFont="1"/>
    <xf numFmtId="168" fontId="2" fillId="0" borderId="0" xfId="0" applyNumberFormat="1" applyFon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7C5C3-A1E8-3749-9A10-8AB474DF2376}">
  <sheetPr codeName="Sheet1"/>
  <dimension ref="A1:I19"/>
  <sheetViews>
    <sheetView tabSelected="1" workbookViewId="0">
      <selection activeCell="G17" sqref="G17"/>
    </sheetView>
  </sheetViews>
  <sheetFormatPr baseColWidth="10" defaultRowHeight="16" x14ac:dyDescent="0.2"/>
  <cols>
    <col min="2" max="2" width="13.83203125" bestFit="1" customWidth="1"/>
    <col min="5" max="5" width="11.33203125" bestFit="1" customWidth="1"/>
  </cols>
  <sheetData>
    <row r="1" spans="1:5" x14ac:dyDescent="0.2">
      <c r="A1" t="s">
        <v>0</v>
      </c>
    </row>
    <row r="3" spans="1:5" ht="17" x14ac:dyDescent="0.25">
      <c r="A3" s="1" t="s">
        <v>1</v>
      </c>
      <c r="D3" t="s">
        <v>14</v>
      </c>
    </row>
    <row r="4" spans="1:5" x14ac:dyDescent="0.2">
      <c r="A4" t="s">
        <v>2</v>
      </c>
      <c r="B4" s="2" t="s">
        <v>74</v>
      </c>
      <c r="D4" t="s">
        <v>15</v>
      </c>
      <c r="E4" s="3">
        <f>Rating_Tables!$B$4</f>
        <v>6.0000000000000001E-3</v>
      </c>
    </row>
    <row r="5" spans="1:5" ht="17" x14ac:dyDescent="0.25">
      <c r="A5" s="1" t="s">
        <v>3</v>
      </c>
      <c r="B5" s="2" t="s">
        <v>75</v>
      </c>
      <c r="D5" t="s">
        <v>16</v>
      </c>
      <c r="E5" s="8">
        <f>B9*E4</f>
        <v>150000</v>
      </c>
    </row>
    <row r="6" spans="1:5" x14ac:dyDescent="0.2">
      <c r="A6" t="s">
        <v>4</v>
      </c>
      <c r="B6" s="2" t="s">
        <v>37</v>
      </c>
      <c r="D6" t="s">
        <v>17</v>
      </c>
      <c r="E6">
        <f>_xlfn.XLOOKUP(B6,Rating_Tables!D5:D10,Rating_Tables!E5:E10)</f>
        <v>1.4</v>
      </c>
    </row>
    <row r="7" spans="1:5" ht="17" x14ac:dyDescent="0.25">
      <c r="A7" s="1" t="s">
        <v>5</v>
      </c>
      <c r="B7" s="2" t="s">
        <v>45</v>
      </c>
      <c r="D7" t="s">
        <v>18</v>
      </c>
      <c r="E7">
        <f>_xlfn.XLOOKUP(B7,Rating_Tables!G5:G9,Rating_Tables!H5:H9)</f>
        <v>1</v>
      </c>
    </row>
    <row r="8" spans="1:5" ht="17" x14ac:dyDescent="0.25">
      <c r="A8" s="1" t="s">
        <v>6</v>
      </c>
      <c r="B8" s="2" t="s">
        <v>50</v>
      </c>
      <c r="D8" t="s">
        <v>19</v>
      </c>
      <c r="E8">
        <f>_xlfn.XLOOKUP(B8,Rating_Tables!J5:J8,Rating_Tables!K5:K8)</f>
        <v>0.95</v>
      </c>
    </row>
    <row r="9" spans="1:5" ht="17" x14ac:dyDescent="0.25">
      <c r="A9" s="1" t="s">
        <v>7</v>
      </c>
      <c r="B9" s="7">
        <v>25000000</v>
      </c>
      <c r="D9" t="s">
        <v>20</v>
      </c>
      <c r="E9">
        <f>IF(B12&gt;=3,Rating_Tables!#REF!,_xlfn.XLOOKUP(B12,Rating_Tables!D15:D17,Rating_Tables!E15:E17))</f>
        <v>1.05</v>
      </c>
    </row>
    <row r="10" spans="1:5" ht="17" x14ac:dyDescent="0.25">
      <c r="A10" s="1" t="s">
        <v>8</v>
      </c>
      <c r="B10" s="7">
        <v>10000000</v>
      </c>
      <c r="D10" t="s">
        <v>21</v>
      </c>
      <c r="E10">
        <f>IF(B11/B9&lt;0.0025,1.1,IF(B11/B9&lt;=0.005,1,IF(B11/B9&lt;=0.01,0.9,0.8)))</f>
        <v>0.9</v>
      </c>
    </row>
    <row r="11" spans="1:5" ht="17" x14ac:dyDescent="0.25">
      <c r="A11" s="1" t="s">
        <v>9</v>
      </c>
      <c r="B11" s="7">
        <v>250000</v>
      </c>
      <c r="D11" t="s">
        <v>22</v>
      </c>
      <c r="E11">
        <f>IF(B10/B9&lt;=0.25,Rating_Tables!K15,IF(B10/B9&lt;=0.5,Rating_Tables!K16,IF(B10/B9&lt;=0.75,Rating_Tables!K17,Rating_Tables!K18)))</f>
        <v>0.75</v>
      </c>
    </row>
    <row r="12" spans="1:5" ht="17" x14ac:dyDescent="0.25">
      <c r="A12" s="1" t="s">
        <v>10</v>
      </c>
      <c r="B12" s="2">
        <v>1</v>
      </c>
      <c r="D12" t="s">
        <v>23</v>
      </c>
      <c r="E12" s="8">
        <f>E5*E6*E7*E8*E9*E10*E11</f>
        <v>141395.625</v>
      </c>
    </row>
    <row r="13" spans="1:5" ht="17" x14ac:dyDescent="0.25">
      <c r="A13" s="1" t="s">
        <v>11</v>
      </c>
      <c r="B13" s="7">
        <v>500000</v>
      </c>
      <c r="D13" t="s">
        <v>24</v>
      </c>
      <c r="E13" s="8">
        <f>B9*_xlfn.XLOOKUP(B14,Rating_Tables!M5:M6,Rating_Tables!N5:N6)</f>
        <v>62500</v>
      </c>
    </row>
    <row r="14" spans="1:5" ht="17" x14ac:dyDescent="0.25">
      <c r="A14" s="1" t="s">
        <v>12</v>
      </c>
      <c r="B14" s="2" t="s">
        <v>73</v>
      </c>
      <c r="D14" t="s">
        <v>25</v>
      </c>
      <c r="E14" s="8">
        <f>(E12+E13)*Rating_Tables!$B$5</f>
        <v>30584.34375</v>
      </c>
    </row>
    <row r="15" spans="1:5" ht="17" x14ac:dyDescent="0.25">
      <c r="A15" s="1" t="s">
        <v>13</v>
      </c>
      <c r="B15" s="7">
        <v>290000</v>
      </c>
      <c r="D15" t="s">
        <v>26</v>
      </c>
      <c r="E15" s="8">
        <f>(E12+E13)*Rating_Tables!$B$6</f>
        <v>24467.474999999999</v>
      </c>
    </row>
    <row r="16" spans="1:5" x14ac:dyDescent="0.2">
      <c r="D16" t="s">
        <v>27</v>
      </c>
      <c r="E16">
        <f>(E12+E13)*Rating_Tables!$B$7</f>
        <v>20389.5625</v>
      </c>
    </row>
    <row r="17" spans="4:9" x14ac:dyDescent="0.2">
      <c r="D17" t="s">
        <v>28</v>
      </c>
      <c r="E17" s="8">
        <f>SUM(E12:E16)</f>
        <v>279337.00624999998</v>
      </c>
    </row>
    <row r="18" spans="4:9" x14ac:dyDescent="0.2">
      <c r="D18" t="s">
        <v>29</v>
      </c>
      <c r="E18" s="3">
        <f>B15/E17</f>
        <v>1.0381725067263623</v>
      </c>
    </row>
    <row r="19" spans="4:9" x14ac:dyDescent="0.2">
      <c r="I19" t="s">
        <v>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63ED4-FA28-CD43-A3B5-FB10B450DE65}">
  <sheetPr codeName="Sheet2"/>
  <dimension ref="A1:N18"/>
  <sheetViews>
    <sheetView topLeftCell="B1" workbookViewId="0">
      <selection activeCell="H18" sqref="H18"/>
    </sheetView>
  </sheetViews>
  <sheetFormatPr baseColWidth="10" defaultRowHeight="16" x14ac:dyDescent="0.2"/>
  <sheetData>
    <row r="1" spans="1:14" ht="22" x14ac:dyDescent="0.3">
      <c r="A1" s="6" t="s">
        <v>30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3" spans="1:14" x14ac:dyDescent="0.2">
      <c r="A3" s="5" t="s">
        <v>31</v>
      </c>
      <c r="B3" s="5"/>
      <c r="C3" s="5"/>
      <c r="D3" s="5" t="s">
        <v>34</v>
      </c>
      <c r="E3" s="5"/>
      <c r="F3" s="5"/>
      <c r="G3" s="5" t="s">
        <v>42</v>
      </c>
      <c r="H3" s="5"/>
      <c r="I3" s="5"/>
      <c r="J3" s="5" t="s">
        <v>69</v>
      </c>
      <c r="K3" s="5"/>
      <c r="L3" s="5"/>
      <c r="M3" s="5" t="s">
        <v>68</v>
      </c>
    </row>
    <row r="4" spans="1:14" x14ac:dyDescent="0.2">
      <c r="A4" t="s">
        <v>32</v>
      </c>
      <c r="B4" s="3">
        <v>6.0000000000000001E-3</v>
      </c>
      <c r="D4" t="s">
        <v>4</v>
      </c>
      <c r="E4" t="s">
        <v>35</v>
      </c>
      <c r="G4" t="s">
        <v>5</v>
      </c>
      <c r="H4" t="s">
        <v>43</v>
      </c>
      <c r="J4" t="s">
        <v>6</v>
      </c>
      <c r="K4" t="s">
        <v>35</v>
      </c>
      <c r="M4" s="2" t="s">
        <v>70</v>
      </c>
      <c r="N4" s="2" t="s">
        <v>71</v>
      </c>
    </row>
    <row r="5" spans="1:14" x14ac:dyDescent="0.2">
      <c r="A5" t="s">
        <v>25</v>
      </c>
      <c r="B5" s="3">
        <v>0.15</v>
      </c>
      <c r="D5" t="s">
        <v>36</v>
      </c>
      <c r="E5">
        <v>1</v>
      </c>
      <c r="G5" t="s">
        <v>44</v>
      </c>
      <c r="H5">
        <v>0.85</v>
      </c>
      <c r="J5" t="s">
        <v>49</v>
      </c>
      <c r="K5">
        <v>0.85</v>
      </c>
      <c r="M5" s="2" t="s">
        <v>72</v>
      </c>
      <c r="N5" s="4">
        <v>0</v>
      </c>
    </row>
    <row r="6" spans="1:14" x14ac:dyDescent="0.2">
      <c r="A6" t="s">
        <v>33</v>
      </c>
      <c r="B6" s="3">
        <v>0.12</v>
      </c>
      <c r="D6" t="s">
        <v>37</v>
      </c>
      <c r="E6">
        <v>1.4</v>
      </c>
      <c r="G6" t="s">
        <v>45</v>
      </c>
      <c r="H6">
        <v>1</v>
      </c>
      <c r="J6" t="s">
        <v>50</v>
      </c>
      <c r="K6">
        <v>0.95</v>
      </c>
      <c r="M6" s="2" t="s">
        <v>73</v>
      </c>
      <c r="N6" s="4">
        <v>2.5000000000000001E-3</v>
      </c>
    </row>
    <row r="7" spans="1:14" x14ac:dyDescent="0.2">
      <c r="A7" t="s">
        <v>27</v>
      </c>
      <c r="B7" s="3">
        <v>0.1</v>
      </c>
      <c r="D7" t="s">
        <v>38</v>
      </c>
      <c r="E7">
        <v>1.3</v>
      </c>
      <c r="G7" t="s">
        <v>46</v>
      </c>
      <c r="H7">
        <v>1.05</v>
      </c>
      <c r="J7" t="s">
        <v>51</v>
      </c>
      <c r="K7">
        <v>1.05</v>
      </c>
    </row>
    <row r="8" spans="1:14" x14ac:dyDescent="0.2">
      <c r="D8" t="s">
        <v>39</v>
      </c>
      <c r="E8">
        <v>0.95</v>
      </c>
      <c r="G8" t="s">
        <v>47</v>
      </c>
      <c r="H8">
        <v>1.1000000000000001</v>
      </c>
      <c r="J8" t="s">
        <v>52</v>
      </c>
      <c r="K8">
        <v>1.25</v>
      </c>
    </row>
    <row r="9" spans="1:14" x14ac:dyDescent="0.2">
      <c r="D9" t="s">
        <v>40</v>
      </c>
      <c r="E9">
        <v>1.2</v>
      </c>
      <c r="G9" t="s">
        <v>48</v>
      </c>
      <c r="H9">
        <v>1.25</v>
      </c>
    </row>
    <row r="10" spans="1:14" x14ac:dyDescent="0.2">
      <c r="D10" t="s">
        <v>41</v>
      </c>
      <c r="E10">
        <v>1.45</v>
      </c>
    </row>
    <row r="13" spans="1:14" x14ac:dyDescent="0.2">
      <c r="D13" t="s">
        <v>53</v>
      </c>
      <c r="G13" t="s">
        <v>56</v>
      </c>
      <c r="J13" t="s">
        <v>62</v>
      </c>
    </row>
    <row r="14" spans="1:14" x14ac:dyDescent="0.2">
      <c r="D14" t="s">
        <v>54</v>
      </c>
      <c r="E14" t="s">
        <v>35</v>
      </c>
      <c r="G14" s="2" t="s">
        <v>57</v>
      </c>
      <c r="H14" s="2" t="s">
        <v>35</v>
      </c>
      <c r="J14" s="2" t="s">
        <v>63</v>
      </c>
      <c r="K14" s="2" t="s">
        <v>35</v>
      </c>
    </row>
    <row r="15" spans="1:14" x14ac:dyDescent="0.2">
      <c r="D15">
        <v>0</v>
      </c>
      <c r="E15">
        <v>0.9</v>
      </c>
      <c r="G15" s="2" t="s">
        <v>58</v>
      </c>
      <c r="H15" s="2">
        <v>1.1000000000000001</v>
      </c>
      <c r="J15" s="2" t="s">
        <v>64</v>
      </c>
      <c r="K15" s="2">
        <v>0.6</v>
      </c>
    </row>
    <row r="16" spans="1:14" x14ac:dyDescent="0.2">
      <c r="D16">
        <v>1</v>
      </c>
      <c r="E16">
        <v>1.05</v>
      </c>
      <c r="G16" s="2" t="s">
        <v>59</v>
      </c>
      <c r="H16" s="2">
        <v>1</v>
      </c>
      <c r="J16" s="2" t="s">
        <v>65</v>
      </c>
      <c r="K16" s="2">
        <v>0.75</v>
      </c>
    </row>
    <row r="17" spans="4:11" x14ac:dyDescent="0.2">
      <c r="D17">
        <v>2</v>
      </c>
      <c r="E17">
        <v>1.2</v>
      </c>
      <c r="G17" s="2" t="s">
        <v>60</v>
      </c>
      <c r="H17" s="2" t="s">
        <v>61</v>
      </c>
      <c r="J17" s="2" t="s">
        <v>66</v>
      </c>
      <c r="K17" s="2">
        <v>0.9</v>
      </c>
    </row>
    <row r="18" spans="4:11" x14ac:dyDescent="0.2">
      <c r="D18" t="s">
        <v>55</v>
      </c>
      <c r="E18">
        <v>1.45</v>
      </c>
      <c r="G18" s="4">
        <v>0.01</v>
      </c>
      <c r="H18" s="2">
        <v>0.8</v>
      </c>
      <c r="J18" s="2" t="s">
        <v>67</v>
      </c>
      <c r="K18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F8043-721D-9C40-95A3-7B4319CF5B9E}">
  <sheetPr codeName="Sheet3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6266-1DEC-DF46-B002-D0AC4CC34079}">
  <sheetPr codeName="Sheet4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51D8C-0149-254F-B23D-5BF8E86208CE}">
  <sheetPr codeName="Sheet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AFD-2B92-8243-B71A-124D61AFCE7F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Risk_Input</vt:lpstr>
      <vt:lpstr>Rating_Tables</vt:lpstr>
      <vt:lpstr>Pricing_Engine</vt:lpstr>
      <vt:lpstr>Exposure_Data</vt:lpstr>
      <vt:lpstr>Quote_Database</vt:lpstr>
      <vt:lpstr>Portfolio_Dashboard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UG-Hassan, Zahid</dc:creator>
  <cp:lastModifiedBy>UG-Hassan, Zahid</cp:lastModifiedBy>
  <dcterms:created xsi:type="dcterms:W3CDTF">2026-09-14T22:35:32Z</dcterms:created>
  <dcterms:modified xsi:type="dcterms:W3CDTF">2026-10-05T17:34:09Z</dcterms:modified>
</cp:coreProperties>
</file>